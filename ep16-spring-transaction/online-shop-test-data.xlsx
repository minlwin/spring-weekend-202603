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lwin/git/spring-weekend-202603/ep16-spring-transaction/"/>
    </mc:Choice>
  </mc:AlternateContent>
  <xr:revisionPtr revIDLastSave="0" documentId="13_ncr:1_{38AA209C-EBCC-2849-A123-BA5EFA83BDD0}" xr6:coauthVersionLast="47" xr6:coauthVersionMax="47" xr10:uidLastSave="{00000000-0000-0000-0000-000000000000}"/>
  <bookViews>
    <workbookView xWindow="2320" yWindow="660" windowWidth="25600" windowHeight="12800" xr2:uid="{B0DF375E-B9E1-2C42-A1BE-A72AC035EBB6}"/>
  </bookViews>
  <sheets>
    <sheet name="CRUD" sheetId="5" r:id="rId1"/>
    <sheet name="EMPLOYEE" sheetId="1" r:id="rId2"/>
    <sheet name="SUPPLIER" sheetId="2" r:id="rId3"/>
    <sheet name="PRODUCT" sheetId="3" r:id="rId4"/>
    <sheet name="STOCK" sheetId="4" r:id="rId5"/>
    <sheet name="STOCK_HISTORY" sheetId="7" r:id="rId6"/>
    <sheet name="PRODUCT_SUPPLIER" sheetId="6" r:id="rId7"/>
    <sheet name="PURCHASE" sheetId="8" r:id="rId8"/>
    <sheet name="PURCHASE_PRODUCT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2" i="9"/>
  <c r="F2" i="8"/>
  <c r="C4" i="6"/>
  <c r="C3" i="6"/>
  <c r="C2" i="6"/>
  <c r="G6" i="7"/>
  <c r="G5" i="7"/>
  <c r="G4" i="7"/>
  <c r="G3" i="7"/>
  <c r="G2" i="7"/>
  <c r="F4" i="4"/>
  <c r="F3" i="4"/>
  <c r="F2" i="4"/>
  <c r="C4" i="3"/>
  <c r="C3" i="3"/>
  <c r="C2" i="3"/>
  <c r="E5" i="2"/>
  <c r="E4" i="2"/>
  <c r="E3" i="2"/>
  <c r="E2" i="2"/>
  <c r="F3" i="1"/>
  <c r="F2" i="1"/>
  <c r="E6" i="7"/>
  <c r="E5" i="7"/>
  <c r="E4" i="4"/>
  <c r="E3" i="4"/>
</calcChain>
</file>

<file path=xl/sharedStrings.xml><?xml version="1.0" encoding="utf-8"?>
<sst xmlns="http://schemas.openxmlformats.org/spreadsheetml/2006/main" count="92" uniqueCount="63">
  <si>
    <t>SUPPLIER</t>
  </si>
  <si>
    <t>EMPLOYEE</t>
  </si>
  <si>
    <t>PRODUCT</t>
  </si>
  <si>
    <t>STOCK</t>
  </si>
  <si>
    <t>STOCK_HISTORY</t>
  </si>
  <si>
    <t>PRODUCT_SUPPLIER</t>
  </si>
  <si>
    <t>PURCHASE</t>
  </si>
  <si>
    <t>PURCHASE_PRODUCT</t>
  </si>
  <si>
    <t>purchase</t>
  </si>
  <si>
    <t>find purchase by ID</t>
  </si>
  <si>
    <t>SALE</t>
  </si>
  <si>
    <t>SALE_PRUDUCT</t>
  </si>
  <si>
    <t>sale</t>
  </si>
  <si>
    <t>find sale by ID</t>
  </si>
  <si>
    <t>R</t>
  </si>
  <si>
    <t>U</t>
  </si>
  <si>
    <t>C</t>
  </si>
  <si>
    <t>C!</t>
  </si>
  <si>
    <t>name</t>
  </si>
  <si>
    <t>role</t>
  </si>
  <si>
    <t>phone</t>
  </si>
  <si>
    <t>email</t>
  </si>
  <si>
    <t>Aung Aung</t>
  </si>
  <si>
    <t>Store Manager</t>
  </si>
  <si>
    <t>09-0091-1111</t>
  </si>
  <si>
    <t>aung@gmail.com</t>
  </si>
  <si>
    <t>Thidar</t>
  </si>
  <si>
    <t>Sale Staff</t>
  </si>
  <si>
    <t>09-0091-1112</t>
  </si>
  <si>
    <t>thidar@gmail.com</t>
  </si>
  <si>
    <t>Aung Gabar</t>
  </si>
  <si>
    <t>09-1122-2233</t>
  </si>
  <si>
    <t>aunggabar@example.com</t>
  </si>
  <si>
    <t>Thiri Mon</t>
  </si>
  <si>
    <t>Nyein Myitter</t>
  </si>
  <si>
    <t>Shwe Store</t>
  </si>
  <si>
    <t>09-1122-2234</t>
  </si>
  <si>
    <t>09-1122-2235</t>
  </si>
  <si>
    <t>09-1122-2236</t>
  </si>
  <si>
    <t>Coke</t>
  </si>
  <si>
    <t>Pepsi</t>
  </si>
  <si>
    <t>Nest Café</t>
  </si>
  <si>
    <t>product_id</t>
  </si>
  <si>
    <t>version</t>
  </si>
  <si>
    <t>stock_amount</t>
  </si>
  <si>
    <t>purchase_price</t>
  </si>
  <si>
    <t>sale_price</t>
  </si>
  <si>
    <t>id</t>
  </si>
  <si>
    <t>action_type</t>
  </si>
  <si>
    <t>amount</t>
  </si>
  <si>
    <t>Initiate</t>
  </si>
  <si>
    <t>Purchase</t>
  </si>
  <si>
    <t>supplier_id</t>
  </si>
  <si>
    <t>employee_id</t>
  </si>
  <si>
    <t>purchase_date</t>
  </si>
  <si>
    <t>transportation_fee</t>
  </si>
  <si>
    <t>2026-04-10</t>
  </si>
  <si>
    <t>purchase_id</t>
  </si>
  <si>
    <t>unit_price</t>
  </si>
  <si>
    <t>quantity</t>
  </si>
  <si>
    <t>thiri@example.com</t>
  </si>
  <si>
    <t>nyein@example.com</t>
  </si>
  <si>
    <t>shwe@example.com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</si>
</sst>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textRotation="180"/>
    </xf>
    <xf numFmtId="0" fontId="0" fillId="0" borderId="0" xfId="0" applyAlignment="1">
      <alignment horizontal="center" textRotation="180"/>
    </xf>
    <xf numFmtId="0" fontId="0" fillId="0" borderId="0" xfId="0" applyAlignment="1">
      <alignment horizontal="center"/>
    </xf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hidar@gmail.com" TargetMode="External"/><Relationship Id="rId1" Type="http://schemas.openxmlformats.org/officeDocument/2006/relationships/hyperlink" Target="mailto:au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yein@example.com" TargetMode="External"/><Relationship Id="rId2" Type="http://schemas.openxmlformats.org/officeDocument/2006/relationships/hyperlink" Target="mailto:thiri@example.com" TargetMode="External"/><Relationship Id="rId1" Type="http://schemas.openxmlformats.org/officeDocument/2006/relationships/hyperlink" Target="mailto:aunggabar@example.com" TargetMode="External"/><Relationship Id="rId4" Type="http://schemas.openxmlformats.org/officeDocument/2006/relationships/hyperlink" Target="mailto:shw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5D78-218C-5245-B45D-86B7D30206F8}">
  <dimension ref="A1:K5"/>
  <sheetViews>
    <sheetView tabSelected="1" zoomScale="182" workbookViewId="0">
      <selection activeCell="C4" sqref="C4"/>
    </sheetView>
  </sheetViews>
  <sheetFormatPr baseColWidth="10" defaultRowHeight="16" x14ac:dyDescent="0.2"/>
  <cols>
    <col min="1" max="1" width="21.83203125" customWidth="1"/>
    <col min="2" max="11" width="6.33203125" style="3" customWidth="1"/>
  </cols>
  <sheetData>
    <row r="1" spans="1:11" s="1" customFormat="1" ht="116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</v>
      </c>
      <c r="K1" s="2" t="s">
        <v>11</v>
      </c>
    </row>
    <row r="2" spans="1:11" x14ac:dyDescent="0.2">
      <c r="A2" t="s">
        <v>8</v>
      </c>
      <c r="B2" s="3" t="s">
        <v>14</v>
      </c>
      <c r="C2" s="3" t="s">
        <v>14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16</v>
      </c>
      <c r="I2" s="3" t="s">
        <v>16</v>
      </c>
    </row>
    <row r="3" spans="1:11" x14ac:dyDescent="0.2">
      <c r="A3" t="s">
        <v>9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H3" s="3" t="s">
        <v>14</v>
      </c>
      <c r="I3" s="3" t="s">
        <v>14</v>
      </c>
    </row>
    <row r="4" spans="1:11" x14ac:dyDescent="0.2">
      <c r="A4" t="s">
        <v>12</v>
      </c>
    </row>
    <row r="5" spans="1:11" x14ac:dyDescent="0.2">
      <c r="A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B1EE-CC1C-0A48-BA60-B3B19F5205BC}">
  <dimension ref="A1:F3"/>
  <sheetViews>
    <sheetView workbookViewId="0">
      <selection activeCell="B2" sqref="B2"/>
    </sheetView>
  </sheetViews>
  <sheetFormatPr baseColWidth="10" defaultRowHeight="16" x14ac:dyDescent="0.2"/>
  <cols>
    <col min="1" max="1" width="7.83203125" customWidth="1"/>
    <col min="2" max="2" width="13.6640625" customWidth="1"/>
    <col min="3" max="5" width="21.1640625" customWidth="1"/>
  </cols>
  <sheetData>
    <row r="1" spans="1:6" x14ac:dyDescent="0.2">
      <c r="A1" t="s">
        <v>47</v>
      </c>
      <c r="B1" t="s">
        <v>18</v>
      </c>
      <c r="C1" t="s">
        <v>19</v>
      </c>
      <c r="D1" t="s">
        <v>20</v>
      </c>
      <c r="E1" t="s">
        <v>21</v>
      </c>
    </row>
    <row r="2" spans="1:6" x14ac:dyDescent="0.2">
      <c r="A2">
        <v>1</v>
      </c>
      <c r="B2" t="s">
        <v>22</v>
      </c>
      <c r="C2" t="s">
        <v>23</v>
      </c>
      <c r="D2" t="s">
        <v>24</v>
      </c>
      <c r="E2" s="4" t="s">
        <v>25</v>
      </c>
      <c r="F2" t="str">
        <f>_xlfn.CONCAT("INSERT INTO employee (", A$1, ", ",B$1, ", ",C$1, ", ",D$1, ", ",E$1, ") values (", A2, ",'", B2, "','", C2, "','", D2, "','", E2, "');")</f>
        <v>INSERT INTO employee (id, name, role, phone, email) values (1,'Aung Aung','Store Manager','09-0091-1111','aung@gmail.com');</v>
      </c>
    </row>
    <row r="3" spans="1:6" x14ac:dyDescent="0.2">
      <c r="A3">
        <v>2</v>
      </c>
      <c r="B3" t="s">
        <v>26</v>
      </c>
      <c r="C3" t="s">
        <v>27</v>
      </c>
      <c r="D3" t="s">
        <v>28</v>
      </c>
      <c r="E3" s="4" t="s">
        <v>29</v>
      </c>
      <c r="F3" t="str">
        <f>_xlfn.CONCAT("INSERT INTO employee (", A$1, ", ",B$1, ", ",C$1, ", ",D$1, ", ",E$1, ") values (", A3, ",'", B3, "','", C3, "','", D3, "','", E3, "');")</f>
        <v>INSERT INTO employee (id, name, role, phone, email) values (2,'Thidar','Sale Staff','09-0091-1112','thidar@gmail.com');</v>
      </c>
    </row>
  </sheetData>
  <hyperlinks>
    <hyperlink ref="E2" r:id="rId1" xr:uid="{FDE4A6BD-1C2E-C44F-93A9-5097D20CF3E5}"/>
    <hyperlink ref="E3" r:id="rId2" xr:uid="{861C0A98-65E8-A145-8E5F-3E352F7DE1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A22B-2E60-EB47-8432-2D6B64744B8A}">
  <dimension ref="A1:E5"/>
  <sheetViews>
    <sheetView zoomScale="103" workbookViewId="0">
      <selection activeCell="D2" sqref="D2"/>
    </sheetView>
  </sheetViews>
  <sheetFormatPr baseColWidth="10" defaultRowHeight="16" x14ac:dyDescent="0.2"/>
  <cols>
    <col min="1" max="1" width="5.5" customWidth="1"/>
    <col min="2" max="2" width="23.33203125" customWidth="1"/>
    <col min="3" max="3" width="27.6640625" customWidth="1"/>
    <col min="4" max="4" width="30.83203125" customWidth="1"/>
  </cols>
  <sheetData>
    <row r="1" spans="1:5" x14ac:dyDescent="0.2">
      <c r="A1" t="s">
        <v>47</v>
      </c>
      <c r="B1" t="s">
        <v>18</v>
      </c>
      <c r="C1" t="s">
        <v>20</v>
      </c>
      <c r="D1" t="s">
        <v>21</v>
      </c>
    </row>
    <row r="2" spans="1:5" x14ac:dyDescent="0.2">
      <c r="A2">
        <v>1</v>
      </c>
      <c r="B2" t="s">
        <v>30</v>
      </c>
      <c r="C2" t="s">
        <v>31</v>
      </c>
      <c r="D2" s="4" t="s">
        <v>32</v>
      </c>
      <c r="E2" t="str">
        <f>_xlfn.CONCAT("INSERT INTO supplier (", A$1, ", ",B$1, ", ",C$1, ", ",D$1, ") values (", A2, ",'", B2, "','", C2, "','", D2, "');")</f>
        <v>INSERT INTO supplier (id, name, phone, email) values (1,'Aung Gabar','09-1122-2233','aunggabar@example.com');</v>
      </c>
    </row>
    <row r="3" spans="1:5" x14ac:dyDescent="0.2">
      <c r="A3">
        <v>2</v>
      </c>
      <c r="B3" t="s">
        <v>33</v>
      </c>
      <c r="C3" t="s">
        <v>36</v>
      </c>
      <c r="D3" s="4" t="s">
        <v>60</v>
      </c>
      <c r="E3" t="str">
        <f t="shared" ref="E3:E5" si="0">_xlfn.CONCAT("INSERT INTO supplier (", A$1, ", ",B$1, ", ",C$1, ", ",D$1, ") values (", A3, ",'", B3, "','", C3, "','", D3, "');")</f>
        <v>INSERT INTO supplier (id, name, phone, email) values (2,'Thiri Mon','09-1122-2234','thiri@example.com');</v>
      </c>
    </row>
    <row r="4" spans="1:5" x14ac:dyDescent="0.2">
      <c r="A4">
        <v>3</v>
      </c>
      <c r="B4" t="s">
        <v>34</v>
      </c>
      <c r="C4" t="s">
        <v>37</v>
      </c>
      <c r="D4" s="4" t="s">
        <v>61</v>
      </c>
      <c r="E4" t="str">
        <f t="shared" si="0"/>
        <v>INSERT INTO supplier (id, name, phone, email) values (3,'Nyein Myitter','09-1122-2235','nyein@example.com');</v>
      </c>
    </row>
    <row r="5" spans="1:5" x14ac:dyDescent="0.2">
      <c r="A5">
        <v>4</v>
      </c>
      <c r="B5" t="s">
        <v>35</v>
      </c>
      <c r="C5" t="s">
        <v>38</v>
      </c>
      <c r="D5" s="4" t="s">
        <v>62</v>
      </c>
      <c r="E5" t="str">
        <f t="shared" si="0"/>
        <v>INSERT INTO supplier (id, name, phone, email) values (4,'Shwe Store','09-1122-2236','shwe@example.com');</v>
      </c>
    </row>
  </sheetData>
  <hyperlinks>
    <hyperlink ref="D2" r:id="rId1" xr:uid="{DDC4661E-60CC-4F4D-8D31-C60160A1CDCA}"/>
    <hyperlink ref="D3" r:id="rId2" xr:uid="{1C84E4A3-5529-D24C-8C08-1798BAB51356}"/>
    <hyperlink ref="D4" r:id="rId3" xr:uid="{039C45EE-954A-AE4B-AD83-7C15CF5B25AF}"/>
    <hyperlink ref="D5" r:id="rId4" xr:uid="{65E841CB-9308-EE4A-8ADB-0595104DB3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D4A2-8D04-4D41-BC8D-CD3B12F93F5A}">
  <dimension ref="A1:C4"/>
  <sheetViews>
    <sheetView workbookViewId="0">
      <selection activeCell="B4" sqref="B4"/>
    </sheetView>
  </sheetViews>
  <sheetFormatPr baseColWidth="10" defaultRowHeight="16" x14ac:dyDescent="0.2"/>
  <cols>
    <col min="1" max="1" width="7.1640625" customWidth="1"/>
    <col min="2" max="2" width="23.83203125" customWidth="1"/>
    <col min="3" max="3" width="27.5" customWidth="1"/>
  </cols>
  <sheetData>
    <row r="1" spans="1:3" x14ac:dyDescent="0.2">
      <c r="A1" t="s">
        <v>47</v>
      </c>
      <c r="B1" t="s">
        <v>18</v>
      </c>
    </row>
    <row r="2" spans="1:3" x14ac:dyDescent="0.2">
      <c r="A2">
        <v>1</v>
      </c>
      <c r="B2" t="s">
        <v>39</v>
      </c>
      <c r="C2" t="str">
        <f>_xlfn.CONCAT("INSERT INTO product (", A$1, ", ",B$1, ") values (", A2, ",'", B2, "');")</f>
        <v>INSERT INTO product (id, name) values (1,'Coke');</v>
      </c>
    </row>
    <row r="3" spans="1:3" x14ac:dyDescent="0.2">
      <c r="A3">
        <v>2</v>
      </c>
      <c r="B3" t="s">
        <v>40</v>
      </c>
      <c r="C3" t="str">
        <f t="shared" ref="C3:C4" si="0">_xlfn.CONCAT("INSERT INTO product (", A$1, ", ",B$1, ") values (", A3, ",'", B3, "');")</f>
        <v>INSERT INTO product (id, name) values (2,'Pepsi');</v>
      </c>
    </row>
    <row r="4" spans="1:3" x14ac:dyDescent="0.2">
      <c r="A4">
        <v>3</v>
      </c>
      <c r="B4" t="s">
        <v>41</v>
      </c>
      <c r="C4" t="str">
        <f t="shared" si="0"/>
        <v>INSERT INTO product (id, name) values (3,'Nest Café');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E2B1-296B-934F-BAB6-3B2E64293929}">
  <dimension ref="A1:F4"/>
  <sheetViews>
    <sheetView zoomScale="139" workbookViewId="0">
      <selection activeCell="C4" sqref="C4"/>
    </sheetView>
  </sheetViews>
  <sheetFormatPr baseColWidth="10" defaultRowHeight="16" x14ac:dyDescent="0.2"/>
  <cols>
    <col min="2" max="2" width="15.5" customWidth="1"/>
    <col min="3" max="3" width="17.33203125" customWidth="1"/>
    <col min="4" max="4" width="18.83203125" customWidth="1"/>
    <col min="5" max="5" width="17.83203125" customWidth="1"/>
  </cols>
  <sheetData>
    <row r="1" spans="1:6" x14ac:dyDescent="0.2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6" x14ac:dyDescent="0.2">
      <c r="A2">
        <v>1</v>
      </c>
      <c r="B2">
        <v>0</v>
      </c>
      <c r="C2">
        <v>0</v>
      </c>
      <c r="D2">
        <v>0</v>
      </c>
      <c r="E2">
        <v>0</v>
      </c>
      <c r="F2" t="str">
        <f>_xlfn.CONCAT("INSERT INTO stock (", A$1, ", ",B$1, ", ", C$1, ", ",D$1, ", ",E$1, ") values (", A2, ",", B2, ",", C2, ",", D2, ",", E2, ");")</f>
        <v>INSERT INTO stock (product_id, version, stock_amount, purchase_price, sale_price) values (1,0,0,0,0);</v>
      </c>
    </row>
    <row r="3" spans="1:6" x14ac:dyDescent="0.2">
      <c r="A3">
        <v>2</v>
      </c>
      <c r="B3">
        <v>1</v>
      </c>
      <c r="C3">
        <v>100</v>
      </c>
      <c r="D3">
        <v>2000</v>
      </c>
      <c r="E3">
        <f>D3+(D3/100*10)</f>
        <v>2200</v>
      </c>
      <c r="F3" t="str">
        <f t="shared" ref="F3:F4" si="0">_xlfn.CONCAT("INSERT INTO stock (", A$1, ", ",B$1, ", ", C$1, ", ",D$1, ", ",E$1, ") values (", A3, ",", B3, ",", C3, ",", D3, ",", E3, ");")</f>
        <v>INSERT INTO stock (product_id, version, stock_amount, purchase_price, sale_price) values (2,1,100,2000,2200);</v>
      </c>
    </row>
    <row r="4" spans="1:6" x14ac:dyDescent="0.2">
      <c r="A4">
        <v>3</v>
      </c>
      <c r="B4">
        <v>1</v>
      </c>
      <c r="C4">
        <v>100</v>
      </c>
      <c r="D4">
        <v>3000</v>
      </c>
      <c r="E4">
        <f>D4+(D4/100*10)</f>
        <v>3300</v>
      </c>
      <c r="F4" t="str">
        <f t="shared" si="0"/>
        <v>INSERT INTO stock (product_id, version, stock_amount, purchase_price, sale_price) values (3,1,100,3000,3300);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7F23-7DA6-4C42-A722-09CE575D7EDD}">
  <dimension ref="A1:G6"/>
  <sheetViews>
    <sheetView zoomScale="136" workbookViewId="0">
      <selection activeCell="F2" sqref="F2"/>
    </sheetView>
  </sheetViews>
  <sheetFormatPr baseColWidth="10" defaultRowHeight="16" x14ac:dyDescent="0.2"/>
  <cols>
    <col min="4" max="4" width="16.33203125" customWidth="1"/>
    <col min="5" max="5" width="16.1640625" customWidth="1"/>
    <col min="6" max="6" width="14.1640625" customWidth="1"/>
  </cols>
  <sheetData>
    <row r="1" spans="1:7" x14ac:dyDescent="0.2">
      <c r="A1" t="s">
        <v>42</v>
      </c>
      <c r="B1" t="s">
        <v>43</v>
      </c>
      <c r="C1" t="s">
        <v>48</v>
      </c>
      <c r="D1" t="s">
        <v>45</v>
      </c>
      <c r="E1" t="s">
        <v>46</v>
      </c>
      <c r="F1" t="s">
        <v>49</v>
      </c>
    </row>
    <row r="2" spans="1:7" x14ac:dyDescent="0.2">
      <c r="A2">
        <v>1</v>
      </c>
      <c r="B2">
        <v>0</v>
      </c>
      <c r="C2" t="s">
        <v>50</v>
      </c>
      <c r="D2">
        <v>0</v>
      </c>
      <c r="E2">
        <v>0</v>
      </c>
      <c r="F2">
        <v>0</v>
      </c>
      <c r="G2" t="str">
        <f>_xlfn.CONCAT("INSERT INTO stock_history (", A$1, ", ",B$1, ", ", C$1, ", ",D$1, ", ",E$1, ", ",F$1, ") values (", A2, ",", B2, ",'", C2, "' ,", D2, ",", E2, ",", F2, ");")</f>
        <v>INSERT INTO stock_history (product_id, version, action_type, purchase_price, sale_price, amount) values (1,0,'Initiate' ,0,0,0);</v>
      </c>
    </row>
    <row r="3" spans="1:7" x14ac:dyDescent="0.2">
      <c r="A3">
        <v>2</v>
      </c>
      <c r="B3">
        <v>0</v>
      </c>
      <c r="C3" t="s">
        <v>50</v>
      </c>
      <c r="D3">
        <v>0</v>
      </c>
      <c r="E3">
        <v>0</v>
      </c>
      <c r="F3">
        <v>0</v>
      </c>
      <c r="G3" t="str">
        <f t="shared" ref="G3:G6" si="0">_xlfn.CONCAT("INSERT INTO stock_history (", A$1, ", ",B$1, ", ", C$1, ", ",D$1, ", ",E$1, ", ",F$1, ") values (", A3, ",", B3, ",'", C3, "' ,", D3, ",", E3, ",", F3, ");")</f>
        <v>INSERT INTO stock_history (product_id, version, action_type, purchase_price, sale_price, amount) values (2,0,'Initiate' ,0,0,0);</v>
      </c>
    </row>
    <row r="4" spans="1:7" x14ac:dyDescent="0.2">
      <c r="A4">
        <v>3</v>
      </c>
      <c r="B4">
        <v>0</v>
      </c>
      <c r="C4" t="s">
        <v>50</v>
      </c>
      <c r="D4">
        <v>0</v>
      </c>
      <c r="E4">
        <v>0</v>
      </c>
      <c r="F4">
        <v>0</v>
      </c>
      <c r="G4" t="str">
        <f t="shared" si="0"/>
        <v>INSERT INTO stock_history (product_id, version, action_type, purchase_price, sale_price, amount) values (3,0,'Initiate' ,0,0,0);</v>
      </c>
    </row>
    <row r="5" spans="1:7" x14ac:dyDescent="0.2">
      <c r="A5">
        <v>2</v>
      </c>
      <c r="B5">
        <v>1</v>
      </c>
      <c r="C5" t="s">
        <v>51</v>
      </c>
      <c r="D5">
        <v>2000</v>
      </c>
      <c r="E5">
        <f>D5+(D5/100*10)</f>
        <v>2200</v>
      </c>
      <c r="F5">
        <v>100</v>
      </c>
      <c r="G5" t="str">
        <f t="shared" si="0"/>
        <v>INSERT INTO stock_history (product_id, version, action_type, purchase_price, sale_price, amount) values (2,1,'Purchase' ,2000,2200,100);</v>
      </c>
    </row>
    <row r="6" spans="1:7" x14ac:dyDescent="0.2">
      <c r="A6">
        <v>3</v>
      </c>
      <c r="B6">
        <v>1</v>
      </c>
      <c r="C6" t="s">
        <v>51</v>
      </c>
      <c r="D6">
        <v>3000</v>
      </c>
      <c r="E6">
        <f>D6+(D6/100*10)</f>
        <v>3300</v>
      </c>
      <c r="F6">
        <v>100</v>
      </c>
      <c r="G6" t="str">
        <f t="shared" si="0"/>
        <v>INSERT INTO stock_history (product_id, version, action_type, purchase_price, sale_price, amount) values (3,1,'Purchase' ,3000,3300,100);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A40D-58BB-704F-8F47-0B4C4C24FB0E}">
  <dimension ref="A1:C4"/>
  <sheetViews>
    <sheetView workbookViewId="0">
      <selection activeCell="C2" sqref="C2:C4"/>
    </sheetView>
  </sheetViews>
  <sheetFormatPr baseColWidth="10" defaultRowHeight="16" x14ac:dyDescent="0.2"/>
  <cols>
    <col min="1" max="1" width="11.1640625" customWidth="1"/>
    <col min="2" max="2" width="12.33203125" customWidth="1"/>
  </cols>
  <sheetData>
    <row r="1" spans="1:3" x14ac:dyDescent="0.2">
      <c r="A1" t="s">
        <v>42</v>
      </c>
      <c r="B1" t="s">
        <v>52</v>
      </c>
    </row>
    <row r="2" spans="1:3" x14ac:dyDescent="0.2">
      <c r="A2">
        <v>1</v>
      </c>
      <c r="B2">
        <v>1</v>
      </c>
      <c r="C2" t="str">
        <f>_xlfn.CONCAT("INSERT INTO product_supplier (", A$1, ", ",B$1, ") values (", A2, ",", B2, ");")</f>
        <v>INSERT INTO product_supplier (product_id, supplier_id) values (1,1);</v>
      </c>
    </row>
    <row r="3" spans="1:3" x14ac:dyDescent="0.2">
      <c r="A3">
        <v>2</v>
      </c>
      <c r="B3">
        <v>1</v>
      </c>
      <c r="C3" t="str">
        <f t="shared" ref="C3:C4" si="0">_xlfn.CONCAT("INSERT INTO product_supplier (", A$1, ", ",B$1, ") values (", A3, ",", B3, ");")</f>
        <v>INSERT INTO product_supplier (product_id, supplier_id) values (2,1);</v>
      </c>
    </row>
    <row r="4" spans="1:3" x14ac:dyDescent="0.2">
      <c r="A4">
        <v>3</v>
      </c>
      <c r="B4">
        <v>1</v>
      </c>
      <c r="C4" t="str">
        <f t="shared" si="0"/>
        <v>INSERT INTO product_supplier (product_id, supplier_id) values (3,1);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4344-ACE6-E245-9032-73EF7DF4D31F}">
  <dimension ref="A1:F2"/>
  <sheetViews>
    <sheetView workbookViewId="0">
      <selection activeCell="F2" sqref="F2"/>
    </sheetView>
  </sheetViews>
  <sheetFormatPr baseColWidth="10" defaultRowHeight="16" x14ac:dyDescent="0.2"/>
  <cols>
    <col min="2" max="2" width="13" customWidth="1"/>
    <col min="4" max="4" width="20.33203125" style="5" customWidth="1"/>
    <col min="5" max="5" width="21.1640625" customWidth="1"/>
  </cols>
  <sheetData>
    <row r="1" spans="1:6" x14ac:dyDescent="0.2">
      <c r="A1" t="s">
        <v>47</v>
      </c>
      <c r="B1" t="s">
        <v>53</v>
      </c>
      <c r="C1" t="s">
        <v>52</v>
      </c>
      <c r="D1" s="5" t="s">
        <v>54</v>
      </c>
      <c r="E1" t="s">
        <v>55</v>
      </c>
    </row>
    <row r="2" spans="1:6" x14ac:dyDescent="0.2">
      <c r="A2">
        <v>1</v>
      </c>
      <c r="B2">
        <v>1</v>
      </c>
      <c r="C2">
        <v>1</v>
      </c>
      <c r="D2" s="5" t="s">
        <v>56</v>
      </c>
      <c r="E2">
        <v>15000</v>
      </c>
      <c r="F2" t="str">
        <f>_xlfn.CONCAT("INSERT INTO purchase (", A$1, ", ",B$1, ", ", C$1, ", ",D$1, ", ",E$1, ") values (", A2, ",", B2, ",", C2, ",'", D2, "' ,", E2, ");")</f>
        <v>INSERT INTO purchase (id, employee_id, supplier_id, purchase_date, transportation_fee) values (1,1,1,'2026-04-10' ,15000);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CE9E-DE44-E245-9AB7-92515F40D1EA}">
  <dimension ref="A1:F3"/>
  <sheetViews>
    <sheetView zoomScale="175" workbookViewId="0">
      <selection activeCell="F2" sqref="F2:F3"/>
    </sheetView>
  </sheetViews>
  <sheetFormatPr baseColWidth="10" defaultRowHeight="16" x14ac:dyDescent="0.2"/>
  <sheetData>
    <row r="1" spans="1:6" x14ac:dyDescent="0.2">
      <c r="A1" t="s">
        <v>42</v>
      </c>
      <c r="B1" t="s">
        <v>43</v>
      </c>
      <c r="C1" t="s">
        <v>57</v>
      </c>
      <c r="D1" t="s">
        <v>58</v>
      </c>
      <c r="E1" t="s">
        <v>59</v>
      </c>
    </row>
    <row r="2" spans="1:6" x14ac:dyDescent="0.2">
      <c r="A2">
        <v>2</v>
      </c>
      <c r="B2">
        <v>1</v>
      </c>
      <c r="C2">
        <v>1</v>
      </c>
      <c r="D2">
        <v>2000</v>
      </c>
      <c r="E2">
        <v>100</v>
      </c>
      <c r="F2" t="str">
        <f>_xlfn.CONCAT("INSERT INTO purchase_product (", A$1, ", ",B$1, ", ", C$1, ", ",D$1, ", ",E$1, ") values (", A2, ",", B2, ",", C2, ",", D2, ",", E2, ");")</f>
        <v>INSERT INTO purchase_product (product_id, version, purchase_id, unit_price, quantity) values (2,1,1,2000,100);</v>
      </c>
    </row>
    <row r="3" spans="1:6" x14ac:dyDescent="0.2">
      <c r="A3">
        <v>3</v>
      </c>
      <c r="B3">
        <v>1</v>
      </c>
      <c r="C3">
        <v>1</v>
      </c>
      <c r="D3">
        <v>3000</v>
      </c>
      <c r="E3">
        <v>100</v>
      </c>
      <c r="F3" t="str">
        <f>_xlfn.CONCAT("INSERT INTO purchase_product (", A$1, ", ",B$1, ", ", C$1, ", ",D$1, ", ",E$1, ") values (", A3, ",", B3, ",", C3, ",", D3, ",", E3, ");")</f>
        <v>INSERT INTO purchase_product (product_id, version, purchase_id, unit_price, quantity) values (3,1,1,3000,100);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CRUD</vt:lpstr>
      <vt:lpstr>EMPLOYEE</vt:lpstr>
      <vt:lpstr>SUPPLIER</vt:lpstr>
      <vt:lpstr>PRODUCT</vt:lpstr>
      <vt:lpstr>STOCK</vt:lpstr>
      <vt:lpstr>STOCK_HISTORY</vt:lpstr>
      <vt:lpstr>PRODUCT_SUPPLIER</vt:lpstr>
      <vt:lpstr>PURCHASE</vt:lpstr>
      <vt:lpstr>PURCHASE_PRODUCT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 Min Lwin</dc:creator>
  <cp:lastModifiedBy>Zaw Min Lwin</cp:lastModifiedBy>
  <dcterms:created xsi:type="dcterms:W3CDTF">2026-04-25T06:31:01Z</dcterms:created>
  <dcterms:modified xsi:type="dcterms:W3CDTF">2026-04-25T10:43:56Z</dcterms:modified>
</cp:coreProperties>
</file>